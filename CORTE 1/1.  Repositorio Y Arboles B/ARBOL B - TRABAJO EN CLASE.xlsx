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5D69DE-DFA7-4626-A072-20A442FF84CD}" xr6:coauthVersionLast="47" xr6:coauthVersionMax="47" xr10:uidLastSave="{00000000-0000-0000-0000-000000000000}"/>
  <bookViews>
    <workbookView xWindow="-120" yWindow="-120" windowWidth="29040" windowHeight="15720" xr2:uid="{116005E7-C4EB-4900-9A60-F36128564D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4" i="1"/>
  <c r="B14" i="1"/>
  <c r="C14" i="1" s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6" i="1"/>
  <c r="E7" i="1"/>
  <c r="E8" i="1"/>
  <c r="E9" i="1"/>
  <c r="E10" i="1"/>
  <c r="E11" i="1"/>
  <c r="E12" i="1"/>
  <c r="E5" i="1"/>
  <c r="E4" i="1"/>
  <c r="B6" i="1"/>
  <c r="C6" i="1" s="1"/>
  <c r="B7" i="1"/>
  <c r="C7" i="1" s="1"/>
  <c r="B8" i="1"/>
  <c r="C8" i="1" s="1"/>
  <c r="D8" i="1" s="1"/>
  <c r="B9" i="1"/>
  <c r="C9" i="1" s="1"/>
  <c r="B10" i="1"/>
  <c r="C10" i="1" s="1"/>
  <c r="D10" i="1" s="1"/>
  <c r="B11" i="1"/>
  <c r="C11" i="1" s="1"/>
  <c r="B12" i="1"/>
  <c r="C12" i="1" s="1"/>
  <c r="B13" i="1"/>
  <c r="C13" i="1" s="1"/>
  <c r="D13" i="1" s="1"/>
  <c r="B15" i="1"/>
  <c r="C15" i="1" s="1"/>
  <c r="D15" i="1" s="1"/>
  <c r="B16" i="1"/>
  <c r="C16" i="1" s="1"/>
  <c r="B17" i="1"/>
  <c r="C17" i="1" s="1"/>
  <c r="B18" i="1"/>
  <c r="C18" i="1" s="1"/>
  <c r="D18" i="1" s="1"/>
  <c r="B19" i="1"/>
  <c r="C19" i="1" s="1"/>
  <c r="D19" i="1" s="1"/>
  <c r="B20" i="1"/>
  <c r="C20" i="1" s="1"/>
  <c r="B21" i="1"/>
  <c r="C21" i="1" s="1"/>
  <c r="D21" i="1" s="1"/>
  <c r="B22" i="1"/>
  <c r="C22" i="1" s="1"/>
  <c r="D22" i="1" s="1"/>
  <c r="B23" i="1"/>
  <c r="C23" i="1" s="1"/>
  <c r="B24" i="1"/>
  <c r="C24" i="1" s="1"/>
  <c r="B25" i="1"/>
  <c r="C25" i="1" s="1"/>
  <c r="D25" i="1" s="1"/>
  <c r="B26" i="1"/>
  <c r="C26" i="1" s="1"/>
  <c r="D26" i="1" s="1"/>
  <c r="B27" i="1"/>
  <c r="C27" i="1" s="1"/>
  <c r="B28" i="1"/>
  <c r="C28" i="1" s="1"/>
  <c r="B29" i="1"/>
  <c r="C29" i="1" s="1"/>
  <c r="D29" i="1" s="1"/>
  <c r="B30" i="1"/>
  <c r="C30" i="1" s="1"/>
  <c r="B31" i="1"/>
  <c r="C31" i="1" s="1"/>
  <c r="D31" i="1" s="1"/>
  <c r="B32" i="1"/>
  <c r="C32" i="1" s="1"/>
  <c r="B33" i="1"/>
  <c r="C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B40" i="1"/>
  <c r="C40" i="1" s="1"/>
  <c r="B41" i="1"/>
  <c r="C41" i="1" s="1"/>
  <c r="D41" i="1" s="1"/>
  <c r="B42" i="1"/>
  <c r="C42" i="1" s="1"/>
  <c r="D42" i="1" s="1"/>
  <c r="B43" i="1"/>
  <c r="C43" i="1" s="1"/>
  <c r="B44" i="1"/>
  <c r="C44" i="1" s="1"/>
  <c r="B45" i="1"/>
  <c r="C45" i="1" s="1"/>
  <c r="D45" i="1" s="1"/>
  <c r="B46" i="1"/>
  <c r="C46" i="1" s="1"/>
  <c r="B47" i="1"/>
  <c r="C47" i="1" s="1"/>
  <c r="D47" i="1" s="1"/>
  <c r="B48" i="1"/>
  <c r="C48" i="1" s="1"/>
  <c r="B49" i="1"/>
  <c r="C49" i="1" s="1"/>
  <c r="B50" i="1"/>
  <c r="C50" i="1" s="1"/>
  <c r="D50" i="1" s="1"/>
  <c r="B51" i="1"/>
  <c r="C51" i="1" s="1"/>
  <c r="D51" i="1" s="1"/>
  <c r="B52" i="1"/>
  <c r="C52" i="1" s="1"/>
  <c r="B4" i="1"/>
  <c r="C4" i="1" s="1"/>
  <c r="B5" i="1"/>
  <c r="C5" i="1" s="1"/>
  <c r="F48" i="1" l="1"/>
  <c r="F32" i="1"/>
  <c r="F16" i="1"/>
  <c r="F46" i="1"/>
  <c r="F30" i="1"/>
  <c r="F9" i="1"/>
  <c r="F36" i="1"/>
  <c r="D46" i="1"/>
  <c r="F52" i="1"/>
  <c r="F20" i="1"/>
  <c r="F49" i="1"/>
  <c r="F33" i="1"/>
  <c r="F17" i="1"/>
  <c r="F22" i="1"/>
  <c r="D52" i="1"/>
  <c r="F12" i="1"/>
  <c r="F44" i="1"/>
  <c r="F11" i="1"/>
  <c r="D30" i="1"/>
  <c r="F43" i="1"/>
  <c r="F27" i="1"/>
  <c r="F39" i="1"/>
  <c r="F42" i="1"/>
  <c r="F26" i="1"/>
  <c r="D20" i="1"/>
  <c r="F7" i="1"/>
  <c r="F23" i="1"/>
  <c r="F14" i="1"/>
  <c r="D14" i="1"/>
  <c r="F28" i="1"/>
  <c r="D28" i="1"/>
  <c r="F25" i="1"/>
  <c r="F40" i="1"/>
  <c r="F24" i="1"/>
  <c r="D49" i="1"/>
  <c r="D33" i="1"/>
  <c r="D17" i="1"/>
  <c r="F10" i="1"/>
  <c r="D48" i="1"/>
  <c r="D32" i="1"/>
  <c r="D16" i="1"/>
  <c r="F6" i="1"/>
  <c r="F51" i="1"/>
  <c r="F35" i="1"/>
  <c r="F19" i="1"/>
  <c r="F38" i="1"/>
  <c r="D44" i="1"/>
  <c r="D12" i="1"/>
  <c r="F50" i="1"/>
  <c r="F34" i="1"/>
  <c r="F18" i="1"/>
  <c r="F37" i="1"/>
  <c r="D43" i="1"/>
  <c r="D27" i="1"/>
  <c r="D11" i="1"/>
  <c r="D9" i="1"/>
  <c r="F31" i="1"/>
  <c r="F15" i="1"/>
  <c r="F8" i="1"/>
  <c r="F21" i="1"/>
  <c r="D40" i="1"/>
  <c r="D24" i="1"/>
  <c r="F47" i="1"/>
  <c r="D39" i="1"/>
  <c r="D23" i="1"/>
  <c r="D7" i="1"/>
  <c r="D6" i="1"/>
  <c r="F45" i="1"/>
  <c r="F29" i="1"/>
  <c r="F13" i="1"/>
  <c r="F41" i="1"/>
  <c r="D4" i="1"/>
  <c r="D5" i="1"/>
</calcChain>
</file>

<file path=xl/sharedStrings.xml><?xml version="1.0" encoding="utf-8"?>
<sst xmlns="http://schemas.openxmlformats.org/spreadsheetml/2006/main" count="20" uniqueCount="20">
  <si>
    <t>GRADO (m)</t>
  </si>
  <si>
    <t>ALTURA (h)</t>
  </si>
  <si>
    <t>REDONDEO (h)</t>
  </si>
  <si>
    <t>ESPACIO OCUPADO</t>
  </si>
  <si>
    <t>PREGUNTAS x NODO</t>
  </si>
  <si>
    <t>PREGUNTAS TOTALES</t>
  </si>
  <si>
    <t>CLAVES A OPTIMIZAR</t>
  </si>
  <si>
    <t>m = 1 HASTA m = 50</t>
  </si>
  <si>
    <t>Preg x Nodo = log 2 (m)</t>
  </si>
  <si>
    <t>EspOcu = (m ^ h) - 1</t>
  </si>
  <si>
    <t>h = ln (7.352.000) / ln (m)</t>
  </si>
  <si>
    <t>PregTotal = h * Preg x Nodo</t>
  </si>
  <si>
    <t>NOMBRE</t>
  </si>
  <si>
    <t>CODIGO</t>
  </si>
  <si>
    <t>Sebastian Rangel</t>
  </si>
  <si>
    <t>Sebastian Zambrano</t>
  </si>
  <si>
    <t>GRUPO TRABAJO</t>
  </si>
  <si>
    <t>Miguel Bueno</t>
  </si>
  <si>
    <t>Diego Yañes</t>
  </si>
  <si>
    <t>Este es el mas optimo porque es el numero mas cercano a 7.352.000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</si>
</sst>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1" fillId="2" borderId="1" xfId="1" applyBorder="1"/>
    <xf numFmtId="164" fontId="1" fillId="2" borderId="1" xfId="1" applyNumberFormat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1" fillId="5" borderId="1" xfId="1" applyNumberFormat="1" applyFill="1" applyBorder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FCB5-EF84-4673-8E5F-6749C0806F2E}">
  <dimension ref="A1:K52"/>
  <sheetViews>
    <sheetView tabSelected="1" workbookViewId="0">
      <selection activeCell="I20" sqref="I20"/>
    </sheetView>
  </sheetViews>
  <sheetFormatPr baseColWidth="10" defaultRowHeight="15" x14ac:dyDescent="0.25"/>
  <cols>
    <col min="2" max="2" width="11.7109375" bestFit="1" customWidth="1"/>
    <col min="3" max="3" width="14" bestFit="1" customWidth="1"/>
    <col min="4" max="4" width="20" customWidth="1"/>
    <col min="5" max="5" width="21.28515625" bestFit="1" customWidth="1"/>
    <col min="6" max="6" width="24.85546875" bestFit="1" customWidth="1"/>
    <col min="8" max="8" width="19.42578125" bestFit="1" customWidth="1"/>
    <col min="9" max="9" width="14" customWidth="1"/>
    <col min="10" max="10" width="17.7109375" bestFit="1" customWidth="1"/>
  </cols>
  <sheetData>
    <row r="1" spans="1:11" ht="30" customHeight="1" x14ac:dyDescent="0.25">
      <c r="A1" s="9" t="s">
        <v>10</v>
      </c>
      <c r="B1" s="9"/>
      <c r="C1" s="9"/>
      <c r="D1" s="2" t="s">
        <v>9</v>
      </c>
      <c r="E1" s="2" t="s">
        <v>8</v>
      </c>
      <c r="F1" s="2" t="s">
        <v>11</v>
      </c>
    </row>
    <row r="2" spans="1:1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"/>
      <c r="H2" s="8" t="s">
        <v>6</v>
      </c>
      <c r="J2" s="8" t="s">
        <v>7</v>
      </c>
    </row>
    <row r="3" spans="1:11" x14ac:dyDescent="0.25">
      <c r="A3" s="3">
        <v>1</v>
      </c>
      <c r="B3" s="3"/>
      <c r="C3" s="3"/>
      <c r="D3" s="3"/>
      <c r="E3" s="3"/>
      <c r="F3" s="3"/>
      <c r="H3" s="5">
        <v>7352000</v>
      </c>
    </row>
    <row r="4" spans="1:11" x14ac:dyDescent="0.25">
      <c r="A4" s="3">
        <v>2</v>
      </c>
      <c r="B4" s="4">
        <f>LOG(7352000)/LOG(A4)</f>
        <v>22.809705335951122</v>
      </c>
      <c r="C4" s="3">
        <f>ROUNDUP(B4,0)</f>
        <v>23</v>
      </c>
      <c r="D4" s="5">
        <f>(A4^C4)-1</f>
        <v>8388607</v>
      </c>
      <c r="E4" s="3">
        <f>LOG(A4,2)</f>
        <v>1</v>
      </c>
      <c r="F4" s="3">
        <f>C4*E4</f>
        <v>23</v>
      </c>
    </row>
    <row r="5" spans="1:11" x14ac:dyDescent="0.25">
      <c r="A5" s="3">
        <v>3</v>
      </c>
      <c r="B5" s="4">
        <f>LOG(7352000)/LOG(A5)</f>
        <v>14.391321766649199</v>
      </c>
      <c r="C5" s="3">
        <f>ROUNDUP(B5,0)</f>
        <v>15</v>
      </c>
      <c r="D5" s="5">
        <f>(A5^C5)-1</f>
        <v>14348906</v>
      </c>
      <c r="E5" s="3">
        <f>ROUNDUP(LOG(A5,2),0)</f>
        <v>2</v>
      </c>
      <c r="F5" s="3">
        <f>C5*E5</f>
        <v>30</v>
      </c>
    </row>
    <row r="6" spans="1:11" x14ac:dyDescent="0.25">
      <c r="A6" s="3">
        <v>4</v>
      </c>
      <c r="B6" s="4">
        <f>LOG(7352000)/LOG(A6)</f>
        <v>11.404852667975561</v>
      </c>
      <c r="C6" s="3">
        <f>ROUNDUP(B6,0)</f>
        <v>12</v>
      </c>
      <c r="D6" s="5">
        <f>(A6^C6)-1</f>
        <v>16777215</v>
      </c>
      <c r="E6" s="3">
        <f>ROUNDUP(LOG(A6,2),0)</f>
        <v>2</v>
      </c>
      <c r="F6" s="3">
        <f>C6*E6</f>
        <v>24</v>
      </c>
      <c r="H6" s="12" t="s">
        <v>16</v>
      </c>
      <c r="I6" s="12"/>
    </row>
    <row r="7" spans="1:11" x14ac:dyDescent="0.25">
      <c r="A7" s="3">
        <v>5</v>
      </c>
      <c r="B7" s="4">
        <f>LOG(7352000)/LOG(A7)</f>
        <v>9.8236053847557354</v>
      </c>
      <c r="C7" s="3">
        <f>ROUNDUP(B7,0)</f>
        <v>10</v>
      </c>
      <c r="D7" s="5">
        <f>(A7^C7)-1</f>
        <v>9765624</v>
      </c>
      <c r="E7" s="3">
        <f>ROUNDUP(LOG(A7,2),0)</f>
        <v>3</v>
      </c>
      <c r="F7" s="3">
        <f>C7*E7</f>
        <v>30</v>
      </c>
      <c r="H7" s="11" t="s">
        <v>12</v>
      </c>
      <c r="I7" s="11" t="s">
        <v>13</v>
      </c>
    </row>
    <row r="8" spans="1:11" x14ac:dyDescent="0.25">
      <c r="A8" s="3">
        <v>6</v>
      </c>
      <c r="B8" s="4">
        <f>LOG(7352000)/LOG(A8)</f>
        <v>8.823998541405393</v>
      </c>
      <c r="C8" s="3">
        <f>ROUNDUP(B8,0)</f>
        <v>9</v>
      </c>
      <c r="D8" s="5">
        <f>(A8^C8)-1</f>
        <v>10077695</v>
      </c>
      <c r="E8" s="3">
        <f>ROUNDUP(LOG(A8,2),0)</f>
        <v>3</v>
      </c>
      <c r="F8" s="3">
        <f>C8*E8</f>
        <v>27</v>
      </c>
      <c r="H8" s="3" t="s">
        <v>14</v>
      </c>
      <c r="I8" s="3">
        <v>20231020006</v>
      </c>
    </row>
    <row r="9" spans="1:11" x14ac:dyDescent="0.25">
      <c r="A9" s="3">
        <v>7</v>
      </c>
      <c r="B9" s="4">
        <f>LOG(7352000)/LOG(A9)</f>
        <v>8.1249809764819929</v>
      </c>
      <c r="C9" s="3">
        <f>ROUNDUP(B9,0)</f>
        <v>9</v>
      </c>
      <c r="D9" s="5">
        <f>(A9^C9)-1</f>
        <v>40353606</v>
      </c>
      <c r="E9" s="3">
        <f>ROUNDUP(LOG(A9,2),0)</f>
        <v>3</v>
      </c>
      <c r="F9" s="3">
        <f>C9*E9</f>
        <v>27</v>
      </c>
      <c r="H9" s="3" t="s">
        <v>17</v>
      </c>
      <c r="I9" s="3">
        <v>20251020093</v>
      </c>
    </row>
    <row r="10" spans="1:11" x14ac:dyDescent="0.25">
      <c r="A10" s="3">
        <v>8</v>
      </c>
      <c r="B10" s="4">
        <f>LOG(7352000)/LOG(A10)</f>
        <v>7.6032351119837074</v>
      </c>
      <c r="C10" s="3">
        <f>ROUNDUP(B10,0)</f>
        <v>8</v>
      </c>
      <c r="D10" s="5">
        <f>(A10^C10)-1</f>
        <v>16777215</v>
      </c>
      <c r="E10" s="3">
        <f>ROUNDUP(LOG(A10,2),0)</f>
        <v>3</v>
      </c>
      <c r="F10" s="3">
        <f>C10*E10</f>
        <v>24</v>
      </c>
      <c r="H10" s="3" t="s">
        <v>15</v>
      </c>
      <c r="I10" s="3">
        <v>20251020102</v>
      </c>
    </row>
    <row r="11" spans="1:11" x14ac:dyDescent="0.25">
      <c r="A11" s="3">
        <v>9</v>
      </c>
      <c r="B11" s="4">
        <f>LOG(7352000)/LOG(A11)</f>
        <v>7.1956608833245994</v>
      </c>
      <c r="C11" s="3">
        <f>ROUNDUP(B11,0)</f>
        <v>8</v>
      </c>
      <c r="D11" s="5">
        <f>(A11^C11)-1</f>
        <v>43046720</v>
      </c>
      <c r="E11" s="3">
        <f>ROUNDUP(LOG(A11,2),0)</f>
        <v>4</v>
      </c>
      <c r="F11" s="3">
        <f>C11*E11</f>
        <v>32</v>
      </c>
      <c r="H11" s="3" t="s">
        <v>18</v>
      </c>
      <c r="I11" s="3">
        <v>20251020103</v>
      </c>
    </row>
    <row r="12" spans="1:11" x14ac:dyDescent="0.25">
      <c r="A12" s="3">
        <v>10</v>
      </c>
      <c r="B12" s="4">
        <f>LOG(7352000)/LOG(A12)</f>
        <v>6.8664054983780547</v>
      </c>
      <c r="C12" s="3">
        <f>ROUNDUP(B12,0)</f>
        <v>7</v>
      </c>
      <c r="D12" s="5">
        <f>(A12^C12)-1</f>
        <v>9999999</v>
      </c>
      <c r="E12" s="3">
        <f>ROUNDUP(LOG(A12,2),0)</f>
        <v>4</v>
      </c>
      <c r="F12" s="3">
        <f>C12*E12</f>
        <v>28</v>
      </c>
    </row>
    <row r="13" spans="1:11" x14ac:dyDescent="0.25">
      <c r="A13" s="3">
        <v>11</v>
      </c>
      <c r="B13" s="4">
        <f>LOG(7352000)/LOG(A13)</f>
        <v>6.5934835112989099</v>
      </c>
      <c r="C13" s="3">
        <f>ROUNDUP(B13,0)</f>
        <v>7</v>
      </c>
      <c r="D13" s="5">
        <f>(A13^C13)-1</f>
        <v>19487170</v>
      </c>
      <c r="E13" s="3">
        <f>ROUNDUP(LOG(A13,2),0)</f>
        <v>4</v>
      </c>
      <c r="F13" s="3">
        <f>C13*E13</f>
        <v>28</v>
      </c>
    </row>
    <row r="14" spans="1:11" x14ac:dyDescent="0.25">
      <c r="A14" s="3">
        <v>12</v>
      </c>
      <c r="B14" s="4">
        <f>LOG(7352000)/LOG(A14)</f>
        <v>6.3626063958444998</v>
      </c>
      <c r="C14" s="3">
        <f>ROUNDUP(B14,0)</f>
        <v>7</v>
      </c>
      <c r="D14" s="5">
        <f>(A14^C14)-1</f>
        <v>35831807</v>
      </c>
      <c r="E14" s="3">
        <f>ROUNDUP(LOG(A14,2),0)</f>
        <v>4</v>
      </c>
      <c r="F14" s="3">
        <f>C14*E14</f>
        <v>28</v>
      </c>
    </row>
    <row r="15" spans="1:11" x14ac:dyDescent="0.25">
      <c r="A15" s="3">
        <v>13</v>
      </c>
      <c r="B15" s="4">
        <f>LOG(7352000)/LOG(A15)</f>
        <v>6.1640526730184186</v>
      </c>
      <c r="C15" s="3">
        <f>ROUNDUP(B15,0)</f>
        <v>7</v>
      </c>
      <c r="D15" s="5">
        <f>(A15^C15)-1</f>
        <v>62748516</v>
      </c>
      <c r="E15" s="3">
        <f>ROUNDUP(LOG(A15,2),0)</f>
        <v>4</v>
      </c>
      <c r="F15" s="3">
        <f>C15*E15</f>
        <v>28</v>
      </c>
    </row>
    <row r="16" spans="1:11" x14ac:dyDescent="0.25">
      <c r="A16" s="6">
        <v>14</v>
      </c>
      <c r="B16" s="7">
        <f>LOG(7352000)/LOG(A16)</f>
        <v>5.9909585008229547</v>
      </c>
      <c r="C16" s="6">
        <f>ROUNDUP(B16,0)</f>
        <v>6</v>
      </c>
      <c r="D16" s="14">
        <f>(A16^C16)-1</f>
        <v>7529535</v>
      </c>
      <c r="E16" s="6">
        <f>ROUNDUP(LOG(A16,2),0)</f>
        <v>4</v>
      </c>
      <c r="F16" s="6">
        <f>C16*E16</f>
        <v>24</v>
      </c>
      <c r="G16" s="13" t="s">
        <v>19</v>
      </c>
      <c r="H16" s="10"/>
      <c r="I16" s="10"/>
      <c r="J16" s="10"/>
      <c r="K16" s="10"/>
    </row>
    <row r="17" spans="1:6" x14ac:dyDescent="0.25">
      <c r="A17" s="3">
        <v>15</v>
      </c>
      <c r="B17" s="4">
        <f>LOG(7352000)/LOG(A17)</f>
        <v>5.8383271242839569</v>
      </c>
      <c r="C17" s="3">
        <f>ROUNDUP(B17,0)</f>
        <v>6</v>
      </c>
      <c r="D17" s="5">
        <f>(A17^C17)-1</f>
        <v>11390624</v>
      </c>
      <c r="E17" s="3">
        <f>ROUNDUP(LOG(A17,2),0)</f>
        <v>4</v>
      </c>
      <c r="F17" s="3">
        <f>C17*E17</f>
        <v>24</v>
      </c>
    </row>
    <row r="18" spans="1:6" x14ac:dyDescent="0.25">
      <c r="A18" s="3">
        <v>16</v>
      </c>
      <c r="B18" s="4">
        <f>LOG(7352000)/LOG(A18)</f>
        <v>5.7024263339877805</v>
      </c>
      <c r="C18" s="3">
        <f>ROUNDUP(B18,0)</f>
        <v>6</v>
      </c>
      <c r="D18" s="5">
        <f>(A18^C18)-1</f>
        <v>16777215</v>
      </c>
      <c r="E18" s="3">
        <f>ROUNDUP(LOG(A18,2),0)</f>
        <v>4</v>
      </c>
      <c r="F18" s="3">
        <f>C18*E18</f>
        <v>24</v>
      </c>
    </row>
    <row r="19" spans="1:6" x14ac:dyDescent="0.25">
      <c r="A19" s="3">
        <v>17</v>
      </c>
      <c r="B19" s="4">
        <f>LOG(7352000)/LOG(A19)</f>
        <v>5.5804067759974352</v>
      </c>
      <c r="C19" s="3">
        <f>ROUNDUP(B19,0)</f>
        <v>6</v>
      </c>
      <c r="D19" s="5">
        <f>(A19^C19)-1</f>
        <v>24137568</v>
      </c>
      <c r="E19" s="3">
        <f>ROUNDUP(LOG(A19,2),0)</f>
        <v>5</v>
      </c>
      <c r="F19" s="3">
        <f>C19*E19</f>
        <v>30</v>
      </c>
    </row>
    <row r="20" spans="1:6" x14ac:dyDescent="0.25">
      <c r="A20" s="3">
        <v>18</v>
      </c>
      <c r="B20" s="4">
        <f>LOG(7352000)/LOG(A20)</f>
        <v>5.4700516983067082</v>
      </c>
      <c r="C20" s="3">
        <f>ROUNDUP(B20,0)</f>
        <v>6</v>
      </c>
      <c r="D20" s="5">
        <f>(A20^C20)-1</f>
        <v>34012223</v>
      </c>
      <c r="E20" s="3">
        <f>ROUNDUP(LOG(A20,2),0)</f>
        <v>5</v>
      </c>
      <c r="F20" s="3">
        <f>C20*E20</f>
        <v>30</v>
      </c>
    </row>
    <row r="21" spans="1:6" x14ac:dyDescent="0.25">
      <c r="A21" s="3">
        <v>19</v>
      </c>
      <c r="B21" s="4">
        <f>LOG(7352000)/LOG(A21)</f>
        <v>5.369607947349464</v>
      </c>
      <c r="C21" s="3">
        <f>ROUNDUP(B21,0)</f>
        <v>6</v>
      </c>
      <c r="D21" s="5">
        <f>(A21^C21)-1</f>
        <v>47045880</v>
      </c>
      <c r="E21" s="3">
        <f>ROUNDUP(LOG(A21,2),0)</f>
        <v>5</v>
      </c>
      <c r="F21" s="3">
        <f>C21*E21</f>
        <v>30</v>
      </c>
    </row>
    <row r="22" spans="1:6" x14ac:dyDescent="0.25">
      <c r="A22" s="3">
        <v>20</v>
      </c>
      <c r="B22" s="4">
        <f>LOG(7352000)/LOG(A22)</f>
        <v>5.2776688633329947</v>
      </c>
      <c r="C22" s="3">
        <f>ROUNDUP(B22,0)</f>
        <v>6</v>
      </c>
      <c r="D22" s="5">
        <f>(A22^C22)-1</f>
        <v>63999999</v>
      </c>
      <c r="E22" s="3">
        <f>ROUNDUP(LOG(A22,2),0)</f>
        <v>5</v>
      </c>
      <c r="F22" s="3">
        <f>C22*E22</f>
        <v>30</v>
      </c>
    </row>
    <row r="23" spans="1:6" x14ac:dyDescent="0.25">
      <c r="A23" s="3">
        <v>21</v>
      </c>
      <c r="B23" s="4">
        <f>LOG(7352000)/LOG(A23)</f>
        <v>5.1930912865402075</v>
      </c>
      <c r="C23" s="3">
        <f>ROUNDUP(B23,0)</f>
        <v>6</v>
      </c>
      <c r="D23" s="5">
        <f>(A23^C23)-1</f>
        <v>85766120</v>
      </c>
      <c r="E23" s="3">
        <f>ROUNDUP(LOG(A23,2),0)</f>
        <v>5</v>
      </c>
      <c r="F23" s="3">
        <f>C23*E23</f>
        <v>30</v>
      </c>
    </row>
    <row r="24" spans="1:6" x14ac:dyDescent="0.25">
      <c r="A24" s="3">
        <v>22</v>
      </c>
      <c r="B24" s="4">
        <f>LOG(7352000)/LOG(A24)</f>
        <v>5.1149355538097163</v>
      </c>
      <c r="C24" s="3">
        <f>ROUNDUP(B24,0)</f>
        <v>6</v>
      </c>
      <c r="D24" s="5">
        <f>(A24^C24)-1</f>
        <v>113379903</v>
      </c>
      <c r="E24" s="3">
        <f>ROUNDUP(LOG(A24,2),0)</f>
        <v>5</v>
      </c>
      <c r="F24" s="3">
        <f>C24*E24</f>
        <v>30</v>
      </c>
    </row>
    <row r="25" spans="1:6" x14ac:dyDescent="0.25">
      <c r="A25" s="3">
        <v>23</v>
      </c>
      <c r="B25" s="4">
        <f>LOG(7352000)/LOG(A25)</f>
        <v>5.0424213390974142</v>
      </c>
      <c r="C25" s="3">
        <f>ROUNDUP(B25,0)</f>
        <v>6</v>
      </c>
      <c r="D25" s="5">
        <f>(A25^C25)-1</f>
        <v>148035888</v>
      </c>
      <c r="E25" s="3">
        <f>ROUNDUP(LOG(A25,2),0)</f>
        <v>5</v>
      </c>
      <c r="F25" s="3">
        <f>C25*E25</f>
        <v>30</v>
      </c>
    </row>
    <row r="26" spans="1:6" x14ac:dyDescent="0.25">
      <c r="A26" s="3">
        <v>24</v>
      </c>
      <c r="B26" s="4">
        <f>LOG(7352000)/LOG(A26)</f>
        <v>4.9748946326962207</v>
      </c>
      <c r="C26" s="3">
        <f>ROUNDUP(B26,0)</f>
        <v>5</v>
      </c>
      <c r="D26" s="5">
        <f>(A26^C26)-1</f>
        <v>7962623</v>
      </c>
      <c r="E26" s="3">
        <f>ROUNDUP(LOG(A26,2),0)</f>
        <v>5</v>
      </c>
      <c r="F26" s="3">
        <f>C26*E26</f>
        <v>25</v>
      </c>
    </row>
    <row r="27" spans="1:6" x14ac:dyDescent="0.25">
      <c r="A27" s="3">
        <v>25</v>
      </c>
      <c r="B27" s="4">
        <f>LOG(7352000)/LOG(A27)</f>
        <v>4.9118026923778677</v>
      </c>
      <c r="C27" s="3">
        <f>ROUNDUP(B27,0)</f>
        <v>5</v>
      </c>
      <c r="D27" s="5">
        <f>(A27^C27)-1</f>
        <v>9765624</v>
      </c>
      <c r="E27" s="3">
        <f>ROUNDUP(LOG(A27,2),0)</f>
        <v>5</v>
      </c>
      <c r="F27" s="3">
        <f>C27*E27</f>
        <v>25</v>
      </c>
    </row>
    <row r="28" spans="1:6" x14ac:dyDescent="0.25">
      <c r="A28" s="3">
        <v>26</v>
      </c>
      <c r="B28" s="4">
        <f>LOG(7352000)/LOG(A28)</f>
        <v>4.8526747929386902</v>
      </c>
      <c r="C28" s="3">
        <f>ROUNDUP(B28,0)</f>
        <v>5</v>
      </c>
      <c r="D28" s="5">
        <f>(A28^C28)-1</f>
        <v>11881375</v>
      </c>
      <c r="E28" s="3">
        <f>ROUNDUP(LOG(A28,2),0)</f>
        <v>5</v>
      </c>
      <c r="F28" s="3">
        <f>C28*E28</f>
        <v>25</v>
      </c>
    </row>
    <row r="29" spans="1:6" x14ac:dyDescent="0.25">
      <c r="A29" s="3">
        <v>27</v>
      </c>
      <c r="B29" s="4">
        <f>LOG(7352000)/LOG(A29)</f>
        <v>4.7971072555497329</v>
      </c>
      <c r="C29" s="3">
        <f>ROUNDUP(B29,0)</f>
        <v>5</v>
      </c>
      <c r="D29" s="5">
        <f>(A29^C29)-1</f>
        <v>14348906</v>
      </c>
      <c r="E29" s="3">
        <f>ROUNDUP(LOG(A29,2),0)</f>
        <v>5</v>
      </c>
      <c r="F29" s="3">
        <f>C29*E29</f>
        <v>25</v>
      </c>
    </row>
    <row r="30" spans="1:6" x14ac:dyDescent="0.25">
      <c r="A30" s="3">
        <v>28</v>
      </c>
      <c r="B30" s="4">
        <f>LOG(7352000)/LOG(A30)</f>
        <v>4.7447516785776038</v>
      </c>
      <c r="C30" s="3">
        <f>ROUNDUP(B30,0)</f>
        <v>5</v>
      </c>
      <c r="D30" s="5">
        <f>(A30^C30)-1</f>
        <v>17210367</v>
      </c>
      <c r="E30" s="3">
        <f>ROUNDUP(LOG(A30,2),0)</f>
        <v>5</v>
      </c>
      <c r="F30" s="3">
        <f>C30*E30</f>
        <v>25</v>
      </c>
    </row>
    <row r="31" spans="1:6" x14ac:dyDescent="0.25">
      <c r="A31" s="3">
        <v>29</v>
      </c>
      <c r="B31" s="4">
        <f>LOG(7352000)/LOG(A31)</f>
        <v>4.6953055927614082</v>
      </c>
      <c r="C31" s="3">
        <f>ROUNDUP(B31,0)</f>
        <v>5</v>
      </c>
      <c r="D31" s="5">
        <f>(A31^C31)-1</f>
        <v>20511148</v>
      </c>
      <c r="E31" s="3">
        <f>ROUNDUP(LOG(A31,2),0)</f>
        <v>5</v>
      </c>
      <c r="F31" s="3">
        <f>C31*E31</f>
        <v>25</v>
      </c>
    </row>
    <row r="32" spans="1:6" x14ac:dyDescent="0.25">
      <c r="A32" s="3">
        <v>30</v>
      </c>
      <c r="B32" s="4">
        <f>LOG(7352000)/LOG(A32)</f>
        <v>4.6485049730607289</v>
      </c>
      <c r="C32" s="3">
        <f>ROUNDUP(B32,0)</f>
        <v>5</v>
      </c>
      <c r="D32" s="5">
        <f>(A32^C32)-1</f>
        <v>24299999</v>
      </c>
      <c r="E32" s="3">
        <f>ROUNDUP(LOG(A32,2),0)</f>
        <v>5</v>
      </c>
      <c r="F32" s="3">
        <f>C32*E32</f>
        <v>25</v>
      </c>
    </row>
    <row r="33" spans="1:6" x14ac:dyDescent="0.25">
      <c r="A33" s="3">
        <v>31</v>
      </c>
      <c r="B33" s="4">
        <f>LOG(7352000)/LOG(A33)</f>
        <v>4.6041181872685826</v>
      </c>
      <c r="C33" s="3">
        <f>ROUNDUP(B33,0)</f>
        <v>5</v>
      </c>
      <c r="D33" s="5">
        <f>(A33^C33)-1</f>
        <v>28629150</v>
      </c>
      <c r="E33" s="3">
        <f>ROUNDUP(LOG(A33,2),0)</f>
        <v>5</v>
      </c>
      <c r="F33" s="3">
        <f>C33*E33</f>
        <v>25</v>
      </c>
    </row>
    <row r="34" spans="1:6" x14ac:dyDescent="0.25">
      <c r="A34" s="3">
        <v>32</v>
      </c>
      <c r="B34" s="4">
        <f>LOG(7352000)/LOG(A34)</f>
        <v>4.5619410671902241</v>
      </c>
      <c r="C34" s="3">
        <f>ROUNDUP(B34,0)</f>
        <v>5</v>
      </c>
      <c r="D34" s="5">
        <f>(A34^C34)-1</f>
        <v>33554431</v>
      </c>
      <c r="E34" s="3">
        <f>ROUNDUP(LOG(A34,2),0)</f>
        <v>5</v>
      </c>
      <c r="F34" s="3">
        <f>C34*E34</f>
        <v>25</v>
      </c>
    </row>
    <row r="35" spans="1:6" x14ac:dyDescent="0.25">
      <c r="A35" s="3">
        <v>33</v>
      </c>
      <c r="B35" s="4">
        <f>LOG(7352000)/LOG(A35)</f>
        <v>4.5217928647597549</v>
      </c>
      <c r="C35" s="3">
        <f>ROUNDUP(B35,0)</f>
        <v>5</v>
      </c>
      <c r="D35" s="5">
        <f>(A35^C35)-1</f>
        <v>39135392</v>
      </c>
      <c r="E35" s="3">
        <f>ROUNDUP(LOG(A35,2),0)</f>
        <v>6</v>
      </c>
      <c r="F35" s="3">
        <f>C35*E35</f>
        <v>30</v>
      </c>
    </row>
    <row r="36" spans="1:6" x14ac:dyDescent="0.25">
      <c r="A36" s="3">
        <v>34</v>
      </c>
      <c r="B36" s="4">
        <f>LOG(7352000)/LOG(A36)</f>
        <v>4.4835129115842758</v>
      </c>
      <c r="C36" s="3">
        <f>ROUNDUP(B36,0)</f>
        <v>5</v>
      </c>
      <c r="D36" s="5">
        <f>(A36^C36)-1</f>
        <v>45435423</v>
      </c>
      <c r="E36" s="3">
        <f>ROUNDUP(LOG(A36,2),0)</f>
        <v>6</v>
      </c>
      <c r="F36" s="3">
        <f>C36*E36</f>
        <v>30</v>
      </c>
    </row>
    <row r="37" spans="1:6" x14ac:dyDescent="0.25">
      <c r="A37" s="3">
        <v>35</v>
      </c>
      <c r="B37" s="4">
        <f>LOG(7352000)/LOG(A37)</f>
        <v>4.4469578419825089</v>
      </c>
      <c r="C37" s="3">
        <f>ROUNDUP(B37,0)</f>
        <v>5</v>
      </c>
      <c r="D37" s="5">
        <f>(A37^C37)-1</f>
        <v>52521874</v>
      </c>
      <c r="E37" s="3">
        <f>ROUNDUP(LOG(A37,2),0)</f>
        <v>6</v>
      </c>
      <c r="F37" s="3">
        <f>C37*E37</f>
        <v>30</v>
      </c>
    </row>
    <row r="38" spans="1:6" x14ac:dyDescent="0.25">
      <c r="A38" s="3">
        <v>36</v>
      </c>
      <c r="B38" s="4">
        <f>LOG(7352000)/LOG(A38)</f>
        <v>4.4119992707026965</v>
      </c>
      <c r="C38" s="3">
        <f>ROUNDUP(B38,0)</f>
        <v>5</v>
      </c>
      <c r="D38" s="5">
        <f>(A38^C38)-1</f>
        <v>60466175</v>
      </c>
      <c r="E38" s="3">
        <f>ROUNDUP(LOG(A38,2),0)</f>
        <v>6</v>
      </c>
      <c r="F38" s="3">
        <f>C38*E38</f>
        <v>30</v>
      </c>
    </row>
    <row r="39" spans="1:6" x14ac:dyDescent="0.25">
      <c r="A39" s="3">
        <v>37</v>
      </c>
      <c r="B39" s="4">
        <f>LOG(7352000)/LOG(A39)</f>
        <v>4.3785218400159822</v>
      </c>
      <c r="C39" s="3">
        <f>ROUNDUP(B39,0)</f>
        <v>5</v>
      </c>
      <c r="D39" s="5">
        <f>(A39^C39)-1</f>
        <v>69343956</v>
      </c>
      <c r="E39" s="3">
        <f>ROUNDUP(LOG(A39,2),0)</f>
        <v>6</v>
      </c>
      <c r="F39" s="3">
        <f>C39*E39</f>
        <v>30</v>
      </c>
    </row>
    <row r="40" spans="1:6" x14ac:dyDescent="0.25">
      <c r="A40" s="3">
        <v>38</v>
      </c>
      <c r="B40" s="4">
        <f>LOG(7352000)/LOG(A40)</f>
        <v>4.3464215688039962</v>
      </c>
      <c r="C40" s="3">
        <f>ROUNDUP(B40,0)</f>
        <v>5</v>
      </c>
      <c r="D40" s="5">
        <f>(A40^C40)-1</f>
        <v>79235167</v>
      </c>
      <c r="E40" s="3">
        <f>ROUNDUP(LOG(A40,2),0)</f>
        <v>6</v>
      </c>
      <c r="F40" s="3">
        <f>C40*E40</f>
        <v>30</v>
      </c>
    </row>
    <row r="41" spans="1:6" x14ac:dyDescent="0.25">
      <c r="A41" s="3">
        <v>39</v>
      </c>
      <c r="B41" s="4">
        <f>LOG(7352000)/LOG(A41)</f>
        <v>4.3156044500358215</v>
      </c>
      <c r="C41" s="3">
        <f>ROUNDUP(B41,0)</f>
        <v>5</v>
      </c>
      <c r="D41" s="5">
        <f>(A41^C41)-1</f>
        <v>90224198</v>
      </c>
      <c r="E41" s="3">
        <f>ROUNDUP(LOG(A41,2),0)</f>
        <v>6</v>
      </c>
      <c r="F41" s="3">
        <f>C41*E41</f>
        <v>30</v>
      </c>
    </row>
    <row r="42" spans="1:6" x14ac:dyDescent="0.25">
      <c r="A42" s="3">
        <v>40</v>
      </c>
      <c r="B42" s="4">
        <f>LOG(7352000)/LOG(A42)</f>
        <v>4.2859852537022833</v>
      </c>
      <c r="C42" s="3">
        <f>ROUNDUP(B42,0)</f>
        <v>5</v>
      </c>
      <c r="D42" s="5">
        <f>(A42^C42)-1</f>
        <v>102399999</v>
      </c>
      <c r="E42" s="3">
        <f>ROUNDUP(LOG(A42,2),0)</f>
        <v>6</v>
      </c>
      <c r="F42" s="3">
        <f>C42*E42</f>
        <v>30</v>
      </c>
    </row>
    <row r="43" spans="1:6" x14ac:dyDescent="0.25">
      <c r="A43" s="3">
        <v>41</v>
      </c>
      <c r="B43" s="4">
        <f>LOG(7352000)/LOG(A43)</f>
        <v>4.2574865006050695</v>
      </c>
      <c r="C43" s="3">
        <f>ROUNDUP(B43,0)</f>
        <v>5</v>
      </c>
      <c r="D43" s="5">
        <f>(A43^C43)-1</f>
        <v>115856200</v>
      </c>
      <c r="E43" s="3">
        <f>ROUNDUP(LOG(A43,2),0)</f>
        <v>6</v>
      </c>
      <c r="F43" s="3">
        <f>C43*E43</f>
        <v>30</v>
      </c>
    </row>
    <row r="44" spans="1:6" x14ac:dyDescent="0.25">
      <c r="A44" s="3">
        <v>42</v>
      </c>
      <c r="B44" s="4">
        <f>LOG(7352000)/LOG(A44)</f>
        <v>4.2300375789444642</v>
      </c>
      <c r="C44" s="3">
        <f>ROUNDUP(B44,0)</f>
        <v>5</v>
      </c>
      <c r="D44" s="5">
        <f>(A44^C44)-1</f>
        <v>130691231</v>
      </c>
      <c r="E44" s="3">
        <f>ROUNDUP(LOG(A44,2),0)</f>
        <v>6</v>
      </c>
      <c r="F44" s="3">
        <f>C44*E44</f>
        <v>30</v>
      </c>
    </row>
    <row r="45" spans="1:6" x14ac:dyDescent="0.25">
      <c r="A45" s="3">
        <v>43</v>
      </c>
      <c r="B45" s="4">
        <f>LOG(7352000)/LOG(A45)</f>
        <v>4.2035739808282493</v>
      </c>
      <c r="C45" s="3">
        <f>ROUNDUP(B45,0)</f>
        <v>5</v>
      </c>
      <c r="D45" s="5">
        <f>(A45^C45)-1</f>
        <v>147008442</v>
      </c>
      <c r="E45" s="3">
        <f>ROUNDUP(LOG(A45,2),0)</f>
        <v>6</v>
      </c>
      <c r="F45" s="3">
        <f>C45*E45</f>
        <v>30</v>
      </c>
    </row>
    <row r="46" spans="1:6" x14ac:dyDescent="0.25">
      <c r="A46" s="3">
        <v>44</v>
      </c>
      <c r="B46" s="4">
        <f>LOG(7352000)/LOG(A46)</f>
        <v>4.1780366399468782</v>
      </c>
      <c r="C46" s="3">
        <f>ROUNDUP(B46,0)</f>
        <v>5</v>
      </c>
      <c r="D46" s="5">
        <f>(A46^C46)-1</f>
        <v>164916223</v>
      </c>
      <c r="E46" s="3">
        <f>ROUNDUP(LOG(A46,2),0)</f>
        <v>6</v>
      </c>
      <c r="F46" s="3">
        <f>C46*E46</f>
        <v>30</v>
      </c>
    </row>
    <row r="47" spans="1:6" x14ac:dyDescent="0.25">
      <c r="A47" s="3">
        <v>45</v>
      </c>
      <c r="B47" s="4">
        <f>LOG(7352000)/LOG(A47)</f>
        <v>4.153371354961287</v>
      </c>
      <c r="C47" s="3">
        <f>ROUNDUP(B47,0)</f>
        <v>5</v>
      </c>
      <c r="D47" s="5">
        <f>(A47^C47)-1</f>
        <v>184528124</v>
      </c>
      <c r="E47" s="3">
        <f>ROUNDUP(LOG(A47,2),0)</f>
        <v>6</v>
      </c>
      <c r="F47" s="3">
        <f>C47*E47</f>
        <v>30</v>
      </c>
    </row>
    <row r="48" spans="1:6" x14ac:dyDescent="0.25">
      <c r="A48" s="3">
        <v>46</v>
      </c>
      <c r="B48" s="4">
        <f>LOG(7352000)/LOG(A48)</f>
        <v>4.1295282858081306</v>
      </c>
      <c r="C48" s="3">
        <f>ROUNDUP(B48,0)</f>
        <v>5</v>
      </c>
      <c r="D48" s="5">
        <f>(A48^C48)-1</f>
        <v>205962975</v>
      </c>
      <c r="E48" s="3">
        <f>ROUNDUP(LOG(A48,2),0)</f>
        <v>6</v>
      </c>
      <c r="F48" s="3">
        <f>C48*E48</f>
        <v>30</v>
      </c>
    </row>
    <row r="49" spans="1:6" x14ac:dyDescent="0.25">
      <c r="A49" s="3">
        <v>47</v>
      </c>
      <c r="B49" s="4">
        <f>LOG(7352000)/LOG(A49)</f>
        <v>4.1064615122795214</v>
      </c>
      <c r="C49" s="3">
        <f>ROUNDUP(B49,0)</f>
        <v>5</v>
      </c>
      <c r="D49" s="5">
        <f>(A49^C49)-1</f>
        <v>229345006</v>
      </c>
      <c r="E49" s="3">
        <f>ROUNDUP(LOG(A49,2),0)</f>
        <v>6</v>
      </c>
      <c r="F49" s="3">
        <f>C49*E49</f>
        <v>30</v>
      </c>
    </row>
    <row r="50" spans="1:6" x14ac:dyDescent="0.25">
      <c r="A50" s="3">
        <v>48</v>
      </c>
      <c r="B50" s="4">
        <f>LOG(7352000)/LOG(A50)</f>
        <v>4.0841286459856851</v>
      </c>
      <c r="C50" s="3">
        <f>ROUNDUP(B50,0)</f>
        <v>5</v>
      </c>
      <c r="D50" s="5">
        <f>(A50^C50)-1</f>
        <v>254803967</v>
      </c>
      <c r="E50" s="3">
        <f>ROUNDUP(LOG(A50,2),0)</f>
        <v>6</v>
      </c>
      <c r="F50" s="3">
        <f>C50*E50</f>
        <v>30</v>
      </c>
    </row>
    <row r="51" spans="1:6" x14ac:dyDescent="0.25">
      <c r="A51" s="3">
        <v>49</v>
      </c>
      <c r="B51" s="4">
        <f>LOG(7352000)/LOG(A51)</f>
        <v>4.0624904882409965</v>
      </c>
      <c r="C51" s="3">
        <f>ROUNDUP(B51,0)</f>
        <v>5</v>
      </c>
      <c r="D51" s="5">
        <f>(A51^C51)-1</f>
        <v>282475248</v>
      </c>
      <c r="E51" s="3">
        <f>ROUNDUP(LOG(A51,2),0)</f>
        <v>6</v>
      </c>
      <c r="F51" s="3">
        <f>C51*E51</f>
        <v>30</v>
      </c>
    </row>
    <row r="52" spans="1:6" x14ac:dyDescent="0.25">
      <c r="A52" s="3">
        <v>50</v>
      </c>
      <c r="B52" s="4">
        <f>LOG(7352000)/LOG(A52)</f>
        <v>4.0415107275902393</v>
      </c>
      <c r="C52" s="3">
        <f>ROUNDUP(B52,0)</f>
        <v>5</v>
      </c>
      <c r="D52" s="5">
        <f>(A52^C52)-1</f>
        <v>312499999</v>
      </c>
      <c r="E52" s="3">
        <f>ROUNDUP(LOG(A52,2),0)</f>
        <v>6</v>
      </c>
      <c r="F52" s="3">
        <f>C52*E52</f>
        <v>30</v>
      </c>
    </row>
  </sheetData>
  <mergeCells count="3">
    <mergeCell ref="A1:C1"/>
    <mergeCell ref="H6:I6"/>
    <mergeCell ref="G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2026-06-22T14:58:46Z</dcterms:created>
  <dcterms:modified xsi:type="dcterms:W3CDTF">2026-06-22T16:21:00Z</dcterms:modified>
</cp:coreProperties>
</file>